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filterPrivacy="1" codeName="ThisWorkbook"/>
  <xr:revisionPtr revIDLastSave="0" documentId="8_{03ADD687-186F-974B-8279-9B092EA786A2}" xr6:coauthVersionLast="47" xr6:coauthVersionMax="47" xr10:uidLastSave="{00000000-0000-0000-0000-000000000000}"/>
  <bookViews>
    <workbookView xWindow="0" yWindow="780" windowWidth="34200" windowHeight="21460" xr2:uid="{00000000-000D-0000-FFFF-FFFF00000000}"/>
  </bookViews>
  <sheets>
    <sheet name="PlanningProjet" sheetId="11" r:id="rId1"/>
    <sheet name="À propos de" sheetId="12" r:id="rId2"/>
  </sheets>
  <definedNames>
    <definedName name="avancement_tâche" localSheetId="0">PlanningProjet!$D1</definedName>
    <definedName name="ce_jour" localSheetId="0">TODAY()</definedName>
    <definedName name="Début_Projet">PlanningProjet!$E$3</definedName>
    <definedName name="début_tâche" localSheetId="0">PlanningProjet!$E1</definedName>
    <definedName name="fin_tâche" localSheetId="0">PlanningProjet!$F1</definedName>
    <definedName name="_xlnm.Print_Titles" localSheetId="0">PlanningProjet!$4:$6</definedName>
    <definedName name="Semaine_Affichage">PlanningProjet!$E$4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11" l="1"/>
  <c r="I4" i="11" s="1"/>
  <c r="H7" i="11"/>
  <c r="H8" i="11"/>
  <c r="H14" i="11"/>
  <c r="H20" i="11"/>
  <c r="H26" i="11"/>
  <c r="H27" i="11"/>
  <c r="H28" i="11"/>
  <c r="H29" i="11"/>
  <c r="H30" i="11"/>
  <c r="H31" i="11"/>
  <c r="H32" i="11"/>
  <c r="H33" i="11"/>
  <c r="I6" i="11" l="1"/>
  <c r="J5" i="11"/>
  <c r="E9" i="11"/>
  <c r="J6" i="11" l="1"/>
  <c r="K5" i="11"/>
  <c r="E21" i="11"/>
  <c r="F9" i="11"/>
  <c r="E10" i="11" s="1"/>
  <c r="K6" i="11" l="1"/>
  <c r="L5" i="11"/>
  <c r="H9" i="11"/>
  <c r="F21" i="11"/>
  <c r="E22" i="11" s="1"/>
  <c r="H21" i="11"/>
  <c r="F10" i="11"/>
  <c r="E11" i="11" s="1"/>
  <c r="E13" i="11"/>
  <c r="L6" i="11" l="1"/>
  <c r="M5" i="11"/>
  <c r="E23" i="11"/>
  <c r="F22" i="11"/>
  <c r="H22" i="11" s="1"/>
  <c r="E15" i="11"/>
  <c r="H13" i="11"/>
  <c r="H10" i="11"/>
  <c r="F13" i="11"/>
  <c r="F11" i="11"/>
  <c r="E12" i="11" s="1"/>
  <c r="M6" i="11" l="1"/>
  <c r="N5" i="11"/>
  <c r="E16" i="11"/>
  <c r="F15" i="11"/>
  <c r="H15" i="11" s="1"/>
  <c r="F23" i="11"/>
  <c r="E24" i="11" s="1"/>
  <c r="E25" i="11"/>
  <c r="H11" i="11"/>
  <c r="F12" i="11"/>
  <c r="H12" i="11" s="1"/>
  <c r="O5" i="11" l="1"/>
  <c r="N6" i="11"/>
  <c r="H23" i="11"/>
  <c r="F24" i="11"/>
  <c r="H24" i="11" s="1"/>
  <c r="F16" i="11"/>
  <c r="E17" i="11" s="1"/>
  <c r="H25" i="11"/>
  <c r="F25" i="11"/>
  <c r="P5" i="11" l="1"/>
  <c r="O6" i="11"/>
  <c r="E18" i="11"/>
  <c r="H16" i="11"/>
  <c r="P4" i="11" l="1"/>
  <c r="P6" i="11"/>
  <c r="Q5" i="11"/>
  <c r="E19" i="11"/>
  <c r="H19" i="11" s="1"/>
  <c r="H18" i="11"/>
  <c r="F18" i="11"/>
  <c r="F17" i="11"/>
  <c r="H17" i="11" s="1"/>
  <c r="F19" i="11" l="1"/>
  <c r="R5" i="11"/>
  <c r="Q6" i="11"/>
  <c r="S5" i="11" l="1"/>
  <c r="R6" i="11"/>
  <c r="S6" i="11" l="1"/>
  <c r="T5" i="11"/>
  <c r="T6" i="11" l="1"/>
  <c r="U5" i="11"/>
  <c r="V5" i="11" l="1"/>
  <c r="U6" i="11"/>
  <c r="V6" i="11" l="1"/>
  <c r="W5" i="11"/>
  <c r="W6" i="11" l="1"/>
  <c r="X5" i="11"/>
  <c r="W4"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S5" i="11" l="1"/>
  <c r="AR6" i="11"/>
  <c r="AR4"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6" i="11" l="1"/>
  <c r="BG5" i="11"/>
  <c r="BF4" i="11"/>
  <c r="BG6" i="11" l="1"/>
  <c r="BH5" i="11"/>
  <c r="BH6" i="11" l="1"/>
  <c r="BI5" i="11"/>
  <c r="BI6" i="11" l="1"/>
  <c r="BJ5" i="11"/>
  <c r="BJ6" i="11" l="1"/>
  <c r="BK5" i="11"/>
  <c r="BK6" i="11" l="1"/>
  <c r="BL5" i="11"/>
  <c r="BL6" i="11" s="1"/>
</calcChain>
</file>

<file path=xl/sharedStrings.xml><?xml version="1.0" encoding="utf-8"?>
<sst xmlns="http://schemas.openxmlformats.org/spreadsheetml/2006/main" count="75" uniqueCount="50">
  <si>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</si>
  <si>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Entrez le nom de la société dans la cellule B2.</t>
  </si>
  <si>
    <t>Entrez le nom du chef de projet dans la cellule B3. Entrez la date de début du projet dans la cellule E3. Début du projet : l’étiquette figure dans la cellule C3.</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</si>
  <si>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</si>
  <si>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</si>
  <si>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</si>
  <si>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</si>
  <si>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</si>
  <si>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 xml:space="preserve">La cellule B9 contient l’exemple de tâche « Tâche 1 ». 
Entrez un nouveau nom de tâche dans la cellule B9.
Entrez une personne à laquelle attribuer la tâche dans la cellule C9.
Entrez l’avancement de la tâche dans la cellule D9. Une barre de progression apparaît dans la cellule, qui est ombrée en fonction du nombre figurant dans la cellule. Par exemple, un avancement de 50 pour cent ombre la moitié de la cellule.
Entrez la date de début de la tâche dans la cellule E9.
Entrez la date de fin de tâche dans la cellule F9.
Une barre d’état ombrée pour les dates entrées apparaît dans les blocs de la cellule I9 à la cellule BL9. </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</si>
  <si>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</si>
  <si>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</si>
  <si>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Exemple de bloc de titre de phase</t>
  </si>
  <si>
    <t>Ceci est une ligne vide.</t>
  </si>
  <si>
    <t>Cette ligne marque la fin du planning de projet. N’ENTREZ rien dans cette ligne. 
Insérez de nouvelles lignes au-dessus de celle-ci pour continuer d’élaborer votre planning de projet.</t>
  </si>
  <si>
    <t>TÂCHE</t>
  </si>
  <si>
    <t>Titre Phase 1</t>
  </si>
  <si>
    <t>Tâche 1</t>
  </si>
  <si>
    <t>Tâche 2</t>
  </si>
  <si>
    <t>Tâche 3</t>
  </si>
  <si>
    <t>Tâche 4</t>
  </si>
  <si>
    <t>Tâche 5</t>
  </si>
  <si>
    <t>Titre Phase 2</t>
  </si>
  <si>
    <t>Titre Phase 3</t>
  </si>
  <si>
    <t>Titre Phase 4</t>
  </si>
  <si>
    <t>Insérez les nouvelle lignes au-dessus de celle-ci.</t>
  </si>
  <si>
    <t>ATTRIBUÉE
À</t>
  </si>
  <si>
    <t>Nom</t>
  </si>
  <si>
    <t>AVANCEMENT</t>
  </si>
  <si>
    <t>DÉBUT</t>
  </si>
  <si>
    <t>date</t>
  </si>
  <si>
    <t>FIN</t>
  </si>
  <si>
    <t>JOURS</t>
  </si>
  <si>
    <t>DIAGRAMME DE GANTT SIMPLE par Vertex42.com</t>
  </si>
  <si>
    <t>https://www.vertex42.com/ExcelTemplates/simple-gantt-chart.html</t>
  </si>
  <si>
    <t>À propos de ce modèle</t>
  </si>
  <si>
    <t>Ce modèle fournit un moyen simple de créer un diagramme de Gantt pour vous aider à visualiser et à suivre votre projet. Entrez simplement vos tâches et dates de début et de fin. Aucune formule n’est requise. Les barres du diagramme de Gantt représentent la durée de la tâche et s’affichent avec une mise en forme conditionnelle. Insérez de nouvelles tâches en insérant des lignes.</t>
  </si>
  <si>
    <t>Instructions pour les lecteurs d’écran</t>
  </si>
  <si>
    <t>Ce classeur contient deux feuilles de calcul. 
FeuilleDeTemps
À propos de
Les instructions relatives à chaque feuille de calcul figurent dans la colonne A à partir de la cellule A1. Elles sont rédigées en texte masqué. Chaque étape vous explique comment utiliser les informations décrites dans la ligne. Les étapes suivantes sont décrites dans les cellules A2, A3, etc. sauf mention contraire. Par exemple, l’instruction peut indiquer de « consulter la cellule A6 » pour l’étape suivante. 
Ce texte masqué n’est pas imprimé.
Pour supprimer ces instructions de la feuille de calcul, supprimez simplement la colonne A.</t>
  </si>
  <si>
    <t>Aide supplémentaire</t>
  </si>
  <si>
    <t>Cliquez sur le lien ci-dessous pour visiter le site vertex42.com afin d’en savoir plus sur l’utilisation de ce modèle, par exemple, sur la façon de calculer des jours et des jours de travail, de créer des dépendances de tâches, de modifier les couleurs des barres, d’ajouter une barre de défilement pour faciliter le changement de semaine d’affichage, d’étendre la plage de dates affichée dans le diagramme, etc.</t>
  </si>
  <si>
    <t>Comment utiliser le diagramme de Gantt Simple</t>
  </si>
  <si>
    <t>Autres modèles de gestion de projet</t>
  </si>
  <si>
    <t>Visitez le site Vertex42.com pour télécharger d’autres modèles de gestion de projet, dont différents types de plannings de projet, diagrammes de Gantt, listes de tâches, etc.</t>
  </si>
  <si>
    <t>Modèles de gestion de projet</t>
  </si>
  <si>
    <t>À propos de Vertex42</t>
  </si>
  <si>
    <t>Vertex42.com fournit plus de 300 modèles de feuilles de calcul de conception professionnelle à usage professionnel, personnel ou éducatif, dont la plupart peuvent être téléchargés gratuitement. La collection compte notamment différents calendriers, planificateurs et plannings, ainsi que des feuilles de calcul financières pour la budgétisation, la réduction d’endettement et l’amortissement de prêt.</t>
  </si>
  <si>
    <t>Les entreprises trouveront également des modèles de facture, de feuille de temps, de suivi d’inventaire, d’états financiers et de planification de projet. Les enseignants et les étudiants pourront utiliser des ressources variées, notamment des emplois du temps, des carnets de notes et des feuilles de présence. Organisez votre vie famille avec des planificateurs de repas, des listes de contrôle et des journaux d’entraînement. Chaque modèle est minutieusement étudié, affiné et amélioré au fil du temps grâce aux commentaires de milliers d’utilisateurs.</t>
  </si>
  <si>
    <t>SAE 302 Conception d’une architecture
distribuée avec routage en oignon</t>
  </si>
  <si>
    <t>HARTMANN Quentin &amp; KOUAME Akaza</t>
  </si>
  <si>
    <t>Début du projet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</si>
</sst>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d/m/yy;@"/>
    <numFmt numFmtId="170" formatCode="d\ mmm\ yyyy"/>
    <numFmt numFmtId="171" formatCode="d"/>
  </numFmts>
  <fonts count="36" x14ac:knownFonts="1">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2" fillId="0" borderId="0" applyNumberFormat="0" applyFill="0" applyBorder="0" applyAlignment="0" applyProtection="0">
      <alignment vertical="top"/>
      <protection locked="0"/>
    </xf>
    <xf numFmtId="9" fontId="8" fillId="0" borderId="0" applyFont="0" applyFill="0" applyBorder="0" applyAlignment="0" applyProtection="0"/>
    <xf numFmtId="0" fontId="21" fillId="0" borderId="0"/>
    <xf numFmtId="167" fontId="8" fillId="0" borderId="3" applyFont="0" applyFill="0" applyAlignment="0" applyProtection="0"/>
    <xf numFmtId="0" fontId="12"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8" fontId="8" fillId="0" borderId="3">
      <alignment horizontal="center" vertical="center"/>
    </xf>
    <xf numFmtId="169"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24" fillId="0" borderId="0" applyNumberFormat="0" applyFill="0" applyBorder="0" applyAlignment="0" applyProtection="0"/>
    <xf numFmtId="166" fontId="8" fillId="0" borderId="0" applyFont="0" applyFill="0" applyBorder="0" applyAlignment="0" applyProtection="0"/>
    <xf numFmtId="165" fontId="8" fillId="0" borderId="0" applyFont="0" applyFill="0" applyBorder="0" applyAlignment="0" applyProtection="0"/>
    <xf numFmtId="164" fontId="8" fillId="0" borderId="0" applyFont="0" applyFill="0" applyBorder="0" applyAlignment="0" applyProtection="0"/>
    <xf numFmtId="0" fontId="25" fillId="0" borderId="0" applyNumberFormat="0" applyFill="0" applyBorder="0" applyAlignment="0" applyProtection="0"/>
    <xf numFmtId="0" fontId="26" fillId="14" borderId="0" applyNumberFormat="0" applyBorder="0" applyAlignment="0" applyProtection="0"/>
    <xf numFmtId="0" fontId="27" fillId="15" borderId="0" applyNumberFormat="0" applyBorder="0" applyAlignment="0" applyProtection="0"/>
    <xf numFmtId="0" fontId="28" fillId="16" borderId="0" applyNumberFormat="0" applyBorder="0" applyAlignment="0" applyProtection="0"/>
    <xf numFmtId="0" fontId="29" fillId="17" borderId="11" applyNumberFormat="0" applyAlignment="0" applyProtection="0"/>
    <xf numFmtId="0" fontId="30" fillId="18" borderId="12" applyNumberFormat="0" applyAlignment="0" applyProtection="0"/>
    <xf numFmtId="0" fontId="31" fillId="18" borderId="11" applyNumberFormat="0" applyAlignment="0" applyProtection="0"/>
    <xf numFmtId="0" fontId="32" fillId="0" borderId="13" applyNumberFormat="0" applyFill="0" applyAlignment="0" applyProtection="0"/>
    <xf numFmtId="0" fontId="33" fillId="19" borderId="14" applyNumberFormat="0" applyAlignment="0" applyProtection="0"/>
    <xf numFmtId="0" fontId="34" fillId="0" borderId="0" applyNumberFormat="0" applyFill="0" applyBorder="0" applyAlignment="0" applyProtection="0"/>
    <xf numFmtId="0" fontId="8" fillId="20" borderId="15" applyNumberFormat="0" applyFont="0" applyAlignment="0" applyProtection="0"/>
    <xf numFmtId="0" fontId="35" fillId="0" borderId="0" applyNumberFormat="0" applyFill="0" applyBorder="0" applyAlignment="0" applyProtection="0"/>
    <xf numFmtId="0" fontId="5" fillId="0" borderId="16" applyNumberFormat="0" applyFill="0" applyAlignment="0" applyProtection="0"/>
    <xf numFmtId="0" fontId="21"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21"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21"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21"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21"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xf numFmtId="0" fontId="21" fillId="41" borderId="0" applyNumberFormat="0" applyBorder="0" applyAlignment="0" applyProtection="0"/>
    <xf numFmtId="0" fontId="8" fillId="42"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cellStyleXfs>
  <cellXfs count="92">
    <xf numFmtId="0" fontId="0" fillId="0" borderId="0" xfId="0"/>
    <xf numFmtId="0" fontId="1" fillId="0" borderId="0" xfId="0" applyFont="1"/>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1" fillId="12" borderId="8" xfId="0" applyFont="1" applyFill="1" applyBorder="1" applyAlignment="1">
      <alignment horizontal="center" vertical="center" shrinkToFit="1"/>
    </xf>
    <xf numFmtId="0" fontId="13" fillId="0" borderId="0" xfId="0" applyFont="1"/>
    <xf numFmtId="0" fontId="14" fillId="0" borderId="0" xfId="1" applyFont="1" applyAlignment="1" applyProtection="1"/>
    <xf numFmtId="9" fontId="4" fillId="0" borderId="2" xfId="2" applyFont="1" applyBorder="1" applyAlignment="1">
      <alignment horizontal="center" vertical="center"/>
    </xf>
    <xf numFmtId="0" fontId="4" fillId="0" borderId="2" xfId="0" applyFont="1" applyBorder="1" applyAlignment="1">
      <alignment horizontal="center" vertical="center"/>
    </xf>
    <xf numFmtId="0" fontId="5" fillId="8" borderId="2" xfId="0" applyFont="1" applyFill="1" applyBorder="1" applyAlignment="1">
      <alignment horizontal="left" vertical="center" indent="1"/>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9" borderId="2" xfId="0" applyFont="1" applyFill="1" applyBorder="1" applyAlignment="1">
      <alignment horizontal="left" vertical="center" indent="1"/>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0" fontId="5" fillId="5" borderId="2" xfId="0" applyFont="1" applyFill="1" applyBorder="1" applyAlignment="1">
      <alignment horizontal="left" vertical="center" indent="1"/>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7" fillId="2" borderId="2" xfId="0" applyFont="1" applyFill="1" applyBorder="1" applyAlignment="1">
      <alignment horizontal="left" vertical="center" indent="1"/>
    </xf>
    <xf numFmtId="0" fontId="7" fillId="2" borderId="2" xfId="0" applyFont="1" applyFill="1" applyBorder="1" applyAlignment="1">
      <alignment horizontal="center" vertical="center"/>
    </xf>
    <xf numFmtId="9" fontId="4" fillId="2"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1" fillId="0" borderId="0" xfId="0" applyFont="1" applyAlignment="1">
      <alignment vertical="top"/>
    </xf>
    <xf numFmtId="0" fontId="15" fillId="0" borderId="0" xfId="0" applyFont="1" applyAlignment="1">
      <alignment horizontal="left" vertical="center"/>
    </xf>
    <xf numFmtId="0" fontId="16" fillId="0" borderId="0" xfId="0" applyFont="1" applyAlignment="1">
      <alignment horizontal="left" vertical="center"/>
    </xf>
    <xf numFmtId="0" fontId="18" fillId="0" borderId="0" xfId="0" applyFont="1"/>
    <xf numFmtId="0" fontId="20" fillId="0" borderId="0" xfId="0" applyFont="1" applyAlignment="1">
      <alignment vertical="center"/>
    </xf>
    <xf numFmtId="0" fontId="19" fillId="0" borderId="0" xfId="0" applyFont="1" applyAlignment="1">
      <alignment horizontal="left" vertical="top" wrapText="1" indent="1"/>
    </xf>
    <xf numFmtId="0" fontId="1" fillId="0" borderId="0" xfId="0" applyFont="1" applyAlignment="1">
      <alignment horizontal="left" vertical="top"/>
    </xf>
    <xf numFmtId="0" fontId="17"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21" fillId="0" borderId="0" xfId="3"/>
    <xf numFmtId="0" fontId="21" fillId="0" borderId="0" xfId="3" applyAlignment="1">
      <alignment wrapText="1"/>
    </xf>
    <xf numFmtId="0" fontId="21" fillId="0" borderId="0" xfId="0" applyFont="1" applyAlignment="1">
      <alignment horizontal="center"/>
    </xf>
    <xf numFmtId="0" fontId="0" fillId="0" borderId="0" xfId="0" applyAlignment="1">
      <alignment wrapText="1"/>
    </xf>
    <xf numFmtId="0" fontId="9" fillId="0" borderId="0" xfId="7">
      <alignment vertical="top"/>
    </xf>
    <xf numFmtId="0" fontId="8" fillId="8" borderId="2" xfId="11" applyFill="1">
      <alignment horizontal="center" vertical="center"/>
    </xf>
    <xf numFmtId="0" fontId="8" fillId="3" borderId="2" xfId="11" applyFill="1">
      <alignment horizontal="center" vertical="center"/>
    </xf>
    <xf numFmtId="0" fontId="8" fillId="9" borderId="2" xfId="11" applyFill="1">
      <alignment horizontal="center" vertical="center"/>
    </xf>
    <xf numFmtId="0" fontId="8" fillId="4" borderId="2" xfId="11" applyFill="1">
      <alignment horizontal="center" vertical="center"/>
    </xf>
    <xf numFmtId="0" fontId="8" fillId="6" borderId="2" xfId="11" applyFill="1">
      <alignment horizontal="center" vertical="center"/>
    </xf>
    <xf numFmtId="0" fontId="8" fillId="11" borderId="2" xfId="11" applyFill="1">
      <alignment horizontal="center" vertical="center"/>
    </xf>
    <xf numFmtId="0" fontId="8" fillId="5" borderId="2" xfId="11" applyFill="1">
      <alignment horizontal="center" vertical="center"/>
    </xf>
    <xf numFmtId="0" fontId="8" fillId="10" borderId="2" xfId="11" applyFill="1">
      <alignment horizontal="center" vertical="center"/>
    </xf>
    <xf numFmtId="0" fontId="8" fillId="0" borderId="2" xfId="11">
      <alignment horizontal="center" vertical="center"/>
    </xf>
    <xf numFmtId="0" fontId="8" fillId="3" borderId="2" xfId="12" applyFill="1">
      <alignment horizontal="left" vertical="center" indent="2"/>
    </xf>
    <xf numFmtId="0" fontId="8" fillId="4" borderId="2" xfId="12" applyFill="1">
      <alignment horizontal="left" vertical="center" indent="2"/>
    </xf>
    <xf numFmtId="0" fontId="8" fillId="11" borderId="2" xfId="12" applyFill="1">
      <alignment horizontal="left" vertical="center" indent="2"/>
    </xf>
    <xf numFmtId="0" fontId="8" fillId="10" borderId="2" xfId="12" applyFill="1">
      <alignment horizontal="left" vertical="center" indent="2"/>
    </xf>
    <xf numFmtId="0" fontId="8" fillId="0" borderId="2" xfId="12">
      <alignment horizontal="left" vertical="center" indent="2"/>
    </xf>
    <xf numFmtId="0" fontId="0" fillId="0" borderId="10" xfId="0" applyBorder="1"/>
    <xf numFmtId="0" fontId="22" fillId="0" borderId="0" xfId="0" applyFont="1"/>
    <xf numFmtId="0" fontId="23" fillId="0" borderId="0" xfId="1" applyFont="1" applyProtection="1">
      <alignment vertical="top"/>
    </xf>
    <xf numFmtId="0" fontId="4" fillId="0" borderId="0" xfId="0" applyFont="1" applyAlignment="1">
      <alignment vertical="top"/>
    </xf>
    <xf numFmtId="169" fontId="0" fillId="8" borderId="2" xfId="0" applyNumberFormat="1" applyFill="1" applyBorder="1" applyAlignment="1">
      <alignment horizontal="center" vertical="center"/>
    </xf>
    <xf numFmtId="169" fontId="4" fillId="8" borderId="2" xfId="0" applyNumberFormat="1" applyFont="1" applyFill="1" applyBorder="1" applyAlignment="1">
      <alignment horizontal="center" vertical="center"/>
    </xf>
    <xf numFmtId="169" fontId="8" fillId="3" borderId="2" xfId="10" applyFill="1">
      <alignment horizontal="center" vertical="center"/>
    </xf>
    <xf numFmtId="169" fontId="0" fillId="9" borderId="2" xfId="0" applyNumberFormat="1" applyFill="1" applyBorder="1" applyAlignment="1">
      <alignment horizontal="center" vertical="center"/>
    </xf>
    <xf numFmtId="169" fontId="4" fillId="9" borderId="2" xfId="0" applyNumberFormat="1" applyFont="1" applyFill="1" applyBorder="1" applyAlignment="1">
      <alignment horizontal="center" vertical="center"/>
    </xf>
    <xf numFmtId="169" fontId="8" fillId="4" borderId="2" xfId="10" applyFill="1">
      <alignment horizontal="center" vertical="center"/>
    </xf>
    <xf numFmtId="169" fontId="0" fillId="6" borderId="2" xfId="0" applyNumberFormat="1" applyFill="1" applyBorder="1" applyAlignment="1">
      <alignment horizontal="center" vertical="center"/>
    </xf>
    <xf numFmtId="169" fontId="4" fillId="6" borderId="2" xfId="0" applyNumberFormat="1" applyFont="1" applyFill="1" applyBorder="1" applyAlignment="1">
      <alignment horizontal="center" vertical="center"/>
    </xf>
    <xf numFmtId="169" fontId="8" fillId="11" borderId="2" xfId="10" applyFill="1">
      <alignment horizontal="center" vertical="center"/>
    </xf>
    <xf numFmtId="169" fontId="0" fillId="5" borderId="2" xfId="0" applyNumberFormat="1" applyFill="1" applyBorder="1" applyAlignment="1">
      <alignment horizontal="center" vertical="center"/>
    </xf>
    <xf numFmtId="169" fontId="4" fillId="5" borderId="2" xfId="0" applyNumberFormat="1" applyFont="1" applyFill="1" applyBorder="1" applyAlignment="1">
      <alignment horizontal="center" vertical="center"/>
    </xf>
    <xf numFmtId="169" fontId="8" fillId="10" borderId="2" xfId="10" applyFill="1">
      <alignment horizontal="center" vertical="center"/>
    </xf>
    <xf numFmtId="169" fontId="8" fillId="0" borderId="2" xfId="10">
      <alignment horizontal="center" vertical="center"/>
    </xf>
    <xf numFmtId="169" fontId="3" fillId="2" borderId="2" xfId="0" applyNumberFormat="1" applyFont="1" applyFill="1" applyBorder="1" applyAlignment="1">
      <alignment horizontal="left" vertical="center"/>
    </xf>
    <xf numFmtId="169" fontId="4" fillId="2" borderId="2" xfId="0" applyNumberFormat="1" applyFont="1" applyFill="1" applyBorder="1" applyAlignment="1">
      <alignment horizontal="center" vertical="center"/>
    </xf>
    <xf numFmtId="171" fontId="10" fillId="7" borderId="6" xfId="0" applyNumberFormat="1" applyFont="1" applyFill="1" applyBorder="1" applyAlignment="1">
      <alignment horizontal="center" vertical="center"/>
    </xf>
    <xf numFmtId="171" fontId="10" fillId="7" borderId="0" xfId="0" applyNumberFormat="1" applyFont="1" applyFill="1" applyAlignment="1">
      <alignment horizontal="center" vertical="center"/>
    </xf>
    <xf numFmtId="171" fontId="10" fillId="7" borderId="7" xfId="0" applyNumberFormat="1" applyFont="1" applyFill="1" applyBorder="1" applyAlignment="1">
      <alignment horizontal="center" vertical="center"/>
    </xf>
    <xf numFmtId="170" fontId="0" fillId="7" borderId="4" xfId="0" applyNumberFormat="1" applyFill="1" applyBorder="1" applyAlignment="1">
      <alignment horizontal="left" vertical="center" wrapText="1" indent="1"/>
    </xf>
    <xf numFmtId="170" fontId="0" fillId="7" borderId="1" xfId="0" applyNumberFormat="1" applyFill="1" applyBorder="1" applyAlignment="1">
      <alignment horizontal="left" vertical="center" wrapText="1" indent="1"/>
    </xf>
    <xf numFmtId="170" fontId="0" fillId="7" borderId="5" xfId="0" applyNumberFormat="1" applyFill="1" applyBorder="1" applyAlignment="1">
      <alignment horizontal="left" vertical="center" wrapText="1" indent="1"/>
    </xf>
    <xf numFmtId="0" fontId="8" fillId="0" borderId="0" xfId="8">
      <alignment horizontal="right" indent="1"/>
    </xf>
    <xf numFmtId="0" fontId="9" fillId="0" borderId="0" xfId="6" applyAlignment="1">
      <alignment horizontal="center" wrapText="1"/>
    </xf>
    <xf numFmtId="0" fontId="12" fillId="0" borderId="0" xfId="5" applyAlignment="1">
      <alignment horizontal="center" wrapText="1"/>
    </xf>
    <xf numFmtId="0" fontId="8" fillId="0" borderId="0" xfId="8" applyAlignment="1"/>
    <xf numFmtId="0" fontId="8" fillId="0" borderId="0" xfId="8" applyBorder="1">
      <alignment horizontal="right" indent="1"/>
    </xf>
    <xf numFmtId="168" fontId="8" fillId="0" borderId="0" xfId="9" applyBorder="1">
      <alignment horizontal="center" vertical="center"/>
    </xf>
    <xf numFmtId="0" fontId="8" fillId="0" borderId="0" xfId="8" applyBorder="1" applyAlignment="1">
      <alignment horizontal="center" vertical="center"/>
    </xf>
  </cellXfs>
  <cellStyles count="54">
    <cellStyle name="20 % - Accent1" xfId="31" builtinId="30" customBuiltin="1"/>
    <cellStyle name="20 % - Accent2" xfId="35" builtinId="34" customBuiltin="1"/>
    <cellStyle name="20 % - Accent3" xfId="39" builtinId="38" customBuiltin="1"/>
    <cellStyle name="20 % - Accent4" xfId="43" builtinId="42" customBuiltin="1"/>
    <cellStyle name="20 % - Accent5" xfId="47" builtinId="46" customBuiltin="1"/>
    <cellStyle name="20 % - Accent6" xfId="51" builtinId="50" customBuiltin="1"/>
    <cellStyle name="40 % - Accent1" xfId="32" builtinId="31" customBuiltin="1"/>
    <cellStyle name="40 % - Accent2" xfId="36" builtinId="35" customBuiltin="1"/>
    <cellStyle name="40 % - Accent3" xfId="40" builtinId="39" customBuiltin="1"/>
    <cellStyle name="40 % - Accent4" xfId="44" builtinId="43" customBuiltin="1"/>
    <cellStyle name="40 % - Accent5" xfId="48" builtinId="47" customBuiltin="1"/>
    <cellStyle name="40 % - Accent6" xfId="52" builtinId="51" customBuiltin="1"/>
    <cellStyle name="60 % - Accent1" xfId="33" builtinId="32" customBuiltin="1"/>
    <cellStyle name="60 % - Accent2" xfId="37" builtinId="36" customBuiltin="1"/>
    <cellStyle name="60 % - Accent3" xfId="41" builtinId="40" customBuiltin="1"/>
    <cellStyle name="60 % - Accent4" xfId="45" builtinId="44" customBuiltin="1"/>
    <cellStyle name="60 % - Accent5" xfId="49" builtinId="48" customBuiltin="1"/>
    <cellStyle name="60 %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vertissement" xfId="26" builtinId="11" customBuiltin="1"/>
    <cellStyle name="Calcul" xfId="23" builtinId="22" customBuiltin="1"/>
    <cellStyle name="Cellule liée" xfId="24" builtinId="24" customBuiltin="1"/>
    <cellStyle name="Date" xfId="10" xr:uid="{229918B6-DD13-4F5A-97B9-305F7E002AA3}"/>
    <cellStyle name="Début du projet" xfId="9" xr:uid="{8EB8A09A-C31C-40A3-B2C1-9449520178B8}"/>
    <cellStyle name="Entrée" xfId="21" builtinId="20" customBuiltin="1"/>
    <cellStyle name="Insatisfaisant" xfId="19" builtinId="27" customBuiltin="1"/>
    <cellStyle name="Lien hypertexte" xfId="1" builtinId="8" customBuiltin="1"/>
    <cellStyle name="Lien hypertexte visité" xfId="13" builtinId="9" customBuiltin="1"/>
    <cellStyle name="Milliers" xfId="4" builtinId="3" customBuiltin="1"/>
    <cellStyle name="Milliers [0]" xfId="14" builtinId="6" customBuiltin="1"/>
    <cellStyle name="Monétaire" xfId="15" builtinId="4" customBuiltin="1"/>
    <cellStyle name="Monétaire [0]" xfId="16" builtinId="7" customBuiltin="1"/>
    <cellStyle name="Neutre" xfId="20" builtinId="28" customBuiltin="1"/>
    <cellStyle name="Nom" xfId="11" xr:uid="{B2D3C1EE-6B41-4801-AAFC-C2274E49E503}"/>
    <cellStyle name="Normal" xfId="0" builtinId="0" customBuiltin="1"/>
    <cellStyle name="Note" xfId="27" builtinId="10" customBuiltin="1"/>
    <cellStyle name="Pourcentage" xfId="2" builtinId="5" customBuiltin="1"/>
    <cellStyle name="Satisfaisant" xfId="18" builtinId="26" customBuiltin="1"/>
    <cellStyle name="Sortie" xfId="22" builtinId="21" customBuiltin="1"/>
    <cellStyle name="Tâche" xfId="12" xr:uid="{6391D789-272B-4DD2-9BF3-2CDCF610FA41}"/>
    <cellStyle name="Texte explicatif" xfId="28" builtinId="53" customBuiltin="1"/>
    <cellStyle name="Titre" xfId="5" builtinId="15" customBuiltin="1"/>
    <cellStyle name="Titre 1" xfId="6" builtinId="16" customBuiltin="1"/>
    <cellStyle name="Titre 2" xfId="7" builtinId="17" customBuiltin="1"/>
    <cellStyle name="Titre 3" xfId="8" builtinId="18" customBuiltin="1"/>
    <cellStyle name="Titre 4" xfId="17" builtinId="19" customBuiltin="1"/>
    <cellStyle name="Total" xfId="29" builtinId="25" customBuiltin="1"/>
    <cellStyle name="Vérification" xfId="25" builtinId="23" customBuiltin="1"/>
    <cellStyle name="zTexteMasqué"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eTâch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 1" descr="Logo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8" activePane="bottomLeft" state="frozen"/>
      <selection pane="bottomLeft" activeCell="Y2" sqref="Y2"/>
    </sheetView>
  </sheetViews>
  <sheetFormatPr baseColWidth="10" defaultColWidth="9.1640625" defaultRowHeight="30" customHeight="1" x14ac:dyDescent="0.2"/>
  <cols>
    <col min="1" max="1" width="2.6640625" style="41" customWidth="1"/>
    <col min="2" max="2" width="19.83203125" customWidth="1"/>
    <col min="3" max="3" width="32.83203125" customWidth="1"/>
    <col min="4" max="4" width="12.6640625" customWidth="1"/>
    <col min="5" max="5" width="10.5" style="3" customWidth="1"/>
    <col min="6" max="6" width="10.5" customWidth="1"/>
    <col min="7" max="7" width="2.6640625" customWidth="1"/>
    <col min="8" max="8" width="9.5" hidden="1" customWidth="1"/>
    <col min="9" max="64" width="2.5" customWidth="1"/>
    <col min="69" max="70" width="10.33203125"/>
  </cols>
  <sheetData>
    <row r="1" spans="1:64" ht="30" customHeight="1" x14ac:dyDescent="0.35">
      <c r="A1" s="42" t="s">
        <v>0</v>
      </c>
      <c r="B1" s="87" t="s">
        <v>47</v>
      </c>
      <c r="C1" s="87"/>
      <c r="D1" s="87"/>
      <c r="E1" s="87"/>
      <c r="F1" s="87"/>
      <c r="H1" s="1"/>
      <c r="I1" s="61"/>
    </row>
    <row r="2" spans="1:64" ht="30" customHeight="1" x14ac:dyDescent="0.25">
      <c r="A2" s="41" t="s">
        <v>1</v>
      </c>
      <c r="B2" s="86"/>
      <c r="C2" s="86"/>
      <c r="I2" s="62"/>
    </row>
    <row r="3" spans="1:64" ht="30" customHeight="1" x14ac:dyDescent="0.2">
      <c r="A3" s="41" t="s">
        <v>2</v>
      </c>
      <c r="B3" s="45" t="s">
        <v>48</v>
      </c>
      <c r="C3" s="88"/>
      <c r="D3" s="91" t="s">
        <v>49</v>
      </c>
      <c r="E3" s="90">
        <v>45971</v>
      </c>
      <c r="F3" s="90"/>
    </row>
    <row r="4" spans="1:64" ht="30" customHeight="1" x14ac:dyDescent="0.2">
      <c r="A4" s="42" t="s">
        <v>3</v>
      </c>
      <c r="C4" s="85"/>
      <c r="D4" s="89"/>
      <c r="E4" s="89"/>
      <c r="F4" s="89"/>
      <c r="I4" s="82">
        <f>I5</f>
        <v>45964</v>
      </c>
      <c r="J4" s="83"/>
      <c r="K4" s="83"/>
      <c r="L4" s="83"/>
      <c r="M4" s="83"/>
      <c r="N4" s="83"/>
      <c r="O4" s="84"/>
      <c r="P4" s="82">
        <f>P5</f>
        <v>45971</v>
      </c>
      <c r="Q4" s="83"/>
      <c r="R4" s="83"/>
      <c r="S4" s="83"/>
      <c r="T4" s="83"/>
      <c r="U4" s="83"/>
      <c r="V4" s="84"/>
      <c r="W4" s="82">
        <f>W5</f>
        <v>45978</v>
      </c>
      <c r="X4" s="83"/>
      <c r="Y4" s="83"/>
      <c r="Z4" s="83"/>
      <c r="AA4" s="83"/>
      <c r="AB4" s="83"/>
      <c r="AC4" s="84"/>
      <c r="AD4" s="82">
        <f>AD5</f>
        <v>45985</v>
      </c>
      <c r="AE4" s="83"/>
      <c r="AF4" s="83"/>
      <c r="AG4" s="83"/>
      <c r="AH4" s="83"/>
      <c r="AI4" s="83"/>
      <c r="AJ4" s="84"/>
      <c r="AK4" s="82">
        <f>AK5</f>
        <v>45992</v>
      </c>
      <c r="AL4" s="83"/>
      <c r="AM4" s="83"/>
      <c r="AN4" s="83"/>
      <c r="AO4" s="83"/>
      <c r="AP4" s="83"/>
      <c r="AQ4" s="84"/>
      <c r="AR4" s="82">
        <f>AR5</f>
        <v>45999</v>
      </c>
      <c r="AS4" s="83"/>
      <c r="AT4" s="83"/>
      <c r="AU4" s="83"/>
      <c r="AV4" s="83"/>
      <c r="AW4" s="83"/>
      <c r="AX4" s="84"/>
      <c r="AY4" s="82">
        <f>AY5</f>
        <v>46006</v>
      </c>
      <c r="AZ4" s="83"/>
      <c r="BA4" s="83"/>
      <c r="BB4" s="83"/>
      <c r="BC4" s="83"/>
      <c r="BD4" s="83"/>
      <c r="BE4" s="84"/>
      <c r="BF4" s="82">
        <f>BF5</f>
        <v>46013</v>
      </c>
      <c r="BG4" s="83"/>
      <c r="BH4" s="83"/>
      <c r="BI4" s="83"/>
      <c r="BJ4" s="83"/>
      <c r="BK4" s="83"/>
      <c r="BL4" s="84"/>
    </row>
    <row r="5" spans="1:64" ht="15" customHeight="1" x14ac:dyDescent="0.2">
      <c r="A5" s="42" t="s">
        <v>4</v>
      </c>
      <c r="B5" s="60"/>
      <c r="C5" s="60"/>
      <c r="D5" s="60"/>
      <c r="E5" s="60"/>
      <c r="F5" s="60"/>
      <c r="G5" s="60"/>
      <c r="I5" s="79">
        <f>Début_Projet-WEEKDAY(Début_Projet,1)+2+7*(Semaine_Affichage-1)</f>
        <v>45964</v>
      </c>
      <c r="J5" s="80">
        <f>I5+1</f>
        <v>45965</v>
      </c>
      <c r="K5" s="80">
        <f t="shared" ref="K5:AX5" si="0">J5+1</f>
        <v>45966</v>
      </c>
      <c r="L5" s="80">
        <f t="shared" si="0"/>
        <v>45967</v>
      </c>
      <c r="M5" s="80">
        <f t="shared" si="0"/>
        <v>45968</v>
      </c>
      <c r="N5" s="80">
        <f t="shared" si="0"/>
        <v>45969</v>
      </c>
      <c r="O5" s="81">
        <f t="shared" si="0"/>
        <v>45970</v>
      </c>
      <c r="P5" s="79">
        <f>O5+1</f>
        <v>45971</v>
      </c>
      <c r="Q5" s="80">
        <f>P5+1</f>
        <v>45972</v>
      </c>
      <c r="R5" s="80">
        <f t="shared" si="0"/>
        <v>45973</v>
      </c>
      <c r="S5" s="80">
        <f t="shared" si="0"/>
        <v>45974</v>
      </c>
      <c r="T5" s="80">
        <f t="shared" si="0"/>
        <v>45975</v>
      </c>
      <c r="U5" s="80">
        <f>T5+1</f>
        <v>45976</v>
      </c>
      <c r="V5" s="81">
        <f t="shared" si="0"/>
        <v>45977</v>
      </c>
      <c r="W5" s="79">
        <f>V5+1</f>
        <v>45978</v>
      </c>
      <c r="X5" s="80">
        <f>W5+1</f>
        <v>45979</v>
      </c>
      <c r="Y5" s="80">
        <f t="shared" si="0"/>
        <v>45980</v>
      </c>
      <c r="Z5" s="80">
        <f t="shared" si="0"/>
        <v>45981</v>
      </c>
      <c r="AA5" s="80">
        <f t="shared" si="0"/>
        <v>45982</v>
      </c>
      <c r="AB5" s="80">
        <f t="shared" si="0"/>
        <v>45983</v>
      </c>
      <c r="AC5" s="81">
        <f t="shared" si="0"/>
        <v>45984</v>
      </c>
      <c r="AD5" s="79">
        <f>AC5+1</f>
        <v>45985</v>
      </c>
      <c r="AE5" s="80">
        <f>AD5+1</f>
        <v>45986</v>
      </c>
      <c r="AF5" s="80">
        <f t="shared" si="0"/>
        <v>45987</v>
      </c>
      <c r="AG5" s="80">
        <f t="shared" si="0"/>
        <v>45988</v>
      </c>
      <c r="AH5" s="80">
        <f t="shared" si="0"/>
        <v>45989</v>
      </c>
      <c r="AI5" s="80">
        <f t="shared" si="0"/>
        <v>45990</v>
      </c>
      <c r="AJ5" s="81">
        <f t="shared" si="0"/>
        <v>45991</v>
      </c>
      <c r="AK5" s="79">
        <f>AJ5+1</f>
        <v>45992</v>
      </c>
      <c r="AL5" s="80">
        <f>AK5+1</f>
        <v>45993</v>
      </c>
      <c r="AM5" s="80">
        <f t="shared" si="0"/>
        <v>45994</v>
      </c>
      <c r="AN5" s="80">
        <f t="shared" si="0"/>
        <v>45995</v>
      </c>
      <c r="AO5" s="80">
        <f t="shared" si="0"/>
        <v>45996</v>
      </c>
      <c r="AP5" s="80">
        <f t="shared" si="0"/>
        <v>45997</v>
      </c>
      <c r="AQ5" s="81">
        <f t="shared" si="0"/>
        <v>45998</v>
      </c>
      <c r="AR5" s="79">
        <f>AQ5+1</f>
        <v>45999</v>
      </c>
      <c r="AS5" s="80">
        <f>AR5+1</f>
        <v>46000</v>
      </c>
      <c r="AT5" s="80">
        <f t="shared" si="0"/>
        <v>46001</v>
      </c>
      <c r="AU5" s="80">
        <f t="shared" si="0"/>
        <v>46002</v>
      </c>
      <c r="AV5" s="80">
        <f t="shared" si="0"/>
        <v>46003</v>
      </c>
      <c r="AW5" s="80">
        <f t="shared" si="0"/>
        <v>46004</v>
      </c>
      <c r="AX5" s="81">
        <f t="shared" si="0"/>
        <v>46005</v>
      </c>
      <c r="AY5" s="79">
        <f>AX5+1</f>
        <v>46006</v>
      </c>
      <c r="AZ5" s="80">
        <f>AY5+1</f>
        <v>46007</v>
      </c>
      <c r="BA5" s="80">
        <f t="shared" ref="BA5:BE5" si="1">AZ5+1</f>
        <v>46008</v>
      </c>
      <c r="BB5" s="80">
        <f t="shared" si="1"/>
        <v>46009</v>
      </c>
      <c r="BC5" s="80">
        <f t="shared" si="1"/>
        <v>46010</v>
      </c>
      <c r="BD5" s="80">
        <f t="shared" si="1"/>
        <v>46011</v>
      </c>
      <c r="BE5" s="81">
        <f t="shared" si="1"/>
        <v>46012</v>
      </c>
      <c r="BF5" s="79">
        <f>BE5+1</f>
        <v>46013</v>
      </c>
      <c r="BG5" s="80">
        <f>BF5+1</f>
        <v>46014</v>
      </c>
      <c r="BH5" s="80">
        <f t="shared" ref="BH5:BL5" si="2">BG5+1</f>
        <v>46015</v>
      </c>
      <c r="BI5" s="80">
        <f t="shared" si="2"/>
        <v>46016</v>
      </c>
      <c r="BJ5" s="80">
        <f t="shared" si="2"/>
        <v>46017</v>
      </c>
      <c r="BK5" s="80">
        <f t="shared" si="2"/>
        <v>46018</v>
      </c>
      <c r="BL5" s="81">
        <f t="shared" si="2"/>
        <v>46019</v>
      </c>
    </row>
    <row r="6" spans="1:64" ht="30" customHeight="1" thickBot="1" x14ac:dyDescent="0.25">
      <c r="A6" s="42" t="s">
        <v>5</v>
      </c>
      <c r="B6" s="5" t="s">
        <v>14</v>
      </c>
      <c r="C6" s="6" t="s">
        <v>25</v>
      </c>
      <c r="D6" s="6" t="s">
        <v>27</v>
      </c>
      <c r="E6" s="6" t="s">
        <v>28</v>
      </c>
      <c r="F6" s="6" t="s">
        <v>30</v>
      </c>
      <c r="G6" s="6"/>
      <c r="H6" s="6" t="s">
        <v>31</v>
      </c>
      <c r="I6" s="7" t="str">
        <f t="shared" ref="I6:AN6" si="3">LEFT(TEXT(I5,"jjj"),1)</f>
        <v>l</v>
      </c>
      <c r="J6" s="7" t="str">
        <f t="shared" si="3"/>
        <v>m</v>
      </c>
      <c r="K6" s="7" t="str">
        <f t="shared" si="3"/>
        <v>m</v>
      </c>
      <c r="L6" s="7" t="str">
        <f t="shared" si="3"/>
        <v>j</v>
      </c>
      <c r="M6" s="7" t="str">
        <f t="shared" si="3"/>
        <v>v</v>
      </c>
      <c r="N6" s="7" t="str">
        <f t="shared" si="3"/>
        <v>s</v>
      </c>
      <c r="O6" s="7" t="str">
        <f t="shared" si="3"/>
        <v>d</v>
      </c>
      <c r="P6" s="7" t="str">
        <f t="shared" si="3"/>
        <v>l</v>
      </c>
      <c r="Q6" s="7" t="str">
        <f t="shared" si="3"/>
        <v>m</v>
      </c>
      <c r="R6" s="7" t="str">
        <f t="shared" si="3"/>
        <v>m</v>
      </c>
      <c r="S6" s="7" t="str">
        <f t="shared" si="3"/>
        <v>j</v>
      </c>
      <c r="T6" s="7" t="str">
        <f t="shared" si="3"/>
        <v>v</v>
      </c>
      <c r="U6" s="7" t="str">
        <f t="shared" si="3"/>
        <v>s</v>
      </c>
      <c r="V6" s="7" t="str">
        <f t="shared" si="3"/>
        <v>d</v>
      </c>
      <c r="W6" s="7" t="str">
        <f t="shared" si="3"/>
        <v>l</v>
      </c>
      <c r="X6" s="7" t="str">
        <f t="shared" si="3"/>
        <v>m</v>
      </c>
      <c r="Y6" s="7" t="str">
        <f t="shared" si="3"/>
        <v>m</v>
      </c>
      <c r="Z6" s="7" t="str">
        <f t="shared" si="3"/>
        <v>j</v>
      </c>
      <c r="AA6" s="7" t="str">
        <f t="shared" si="3"/>
        <v>v</v>
      </c>
      <c r="AB6" s="7" t="str">
        <f t="shared" si="3"/>
        <v>s</v>
      </c>
      <c r="AC6" s="7" t="str">
        <f t="shared" si="3"/>
        <v>d</v>
      </c>
      <c r="AD6" s="7" t="str">
        <f t="shared" si="3"/>
        <v>l</v>
      </c>
      <c r="AE6" s="7" t="str">
        <f t="shared" si="3"/>
        <v>m</v>
      </c>
      <c r="AF6" s="7" t="str">
        <f t="shared" si="3"/>
        <v>m</v>
      </c>
      <c r="AG6" s="7" t="str">
        <f t="shared" si="3"/>
        <v>j</v>
      </c>
      <c r="AH6" s="7" t="str">
        <f t="shared" si="3"/>
        <v>v</v>
      </c>
      <c r="AI6" s="7" t="str">
        <f t="shared" si="3"/>
        <v>s</v>
      </c>
      <c r="AJ6" s="7" t="str">
        <f t="shared" si="3"/>
        <v>d</v>
      </c>
      <c r="AK6" s="7" t="str">
        <f t="shared" si="3"/>
        <v>l</v>
      </c>
      <c r="AL6" s="7" t="str">
        <f t="shared" si="3"/>
        <v>m</v>
      </c>
      <c r="AM6" s="7" t="str">
        <f t="shared" si="3"/>
        <v>m</v>
      </c>
      <c r="AN6" s="7" t="str">
        <f t="shared" si="3"/>
        <v>j</v>
      </c>
      <c r="AO6" s="7" t="str">
        <f t="shared" ref="AO6:BL6" si="4">LEFT(TEXT(AO5,"jjj"),1)</f>
        <v>v</v>
      </c>
      <c r="AP6" s="7" t="str">
        <f t="shared" si="4"/>
        <v>s</v>
      </c>
      <c r="AQ6" s="7" t="str">
        <f t="shared" si="4"/>
        <v>d</v>
      </c>
      <c r="AR6" s="7" t="str">
        <f t="shared" si="4"/>
        <v>l</v>
      </c>
      <c r="AS6" s="7" t="str">
        <f t="shared" si="4"/>
        <v>m</v>
      </c>
      <c r="AT6" s="7" t="str">
        <f t="shared" si="4"/>
        <v>m</v>
      </c>
      <c r="AU6" s="7" t="str">
        <f t="shared" si="4"/>
        <v>j</v>
      </c>
      <c r="AV6" s="7" t="str">
        <f t="shared" si="4"/>
        <v>v</v>
      </c>
      <c r="AW6" s="7" t="str">
        <f t="shared" si="4"/>
        <v>s</v>
      </c>
      <c r="AX6" s="7" t="str">
        <f t="shared" si="4"/>
        <v>d</v>
      </c>
      <c r="AY6" s="7" t="str">
        <f t="shared" si="4"/>
        <v>l</v>
      </c>
      <c r="AZ6" s="7" t="str">
        <f t="shared" si="4"/>
        <v>m</v>
      </c>
      <c r="BA6" s="7" t="str">
        <f t="shared" si="4"/>
        <v>m</v>
      </c>
      <c r="BB6" s="7" t="str">
        <f t="shared" si="4"/>
        <v>j</v>
      </c>
      <c r="BC6" s="7" t="str">
        <f t="shared" si="4"/>
        <v>v</v>
      </c>
      <c r="BD6" s="7" t="str">
        <f t="shared" si="4"/>
        <v>s</v>
      </c>
      <c r="BE6" s="7" t="str">
        <f t="shared" si="4"/>
        <v>d</v>
      </c>
      <c r="BF6" s="7" t="str">
        <f t="shared" si="4"/>
        <v>l</v>
      </c>
      <c r="BG6" s="7" t="str">
        <f t="shared" si="4"/>
        <v>m</v>
      </c>
      <c r="BH6" s="7" t="str">
        <f t="shared" si="4"/>
        <v>m</v>
      </c>
      <c r="BI6" s="7" t="str">
        <f t="shared" si="4"/>
        <v>j</v>
      </c>
      <c r="BJ6" s="7" t="str">
        <f t="shared" si="4"/>
        <v>v</v>
      </c>
      <c r="BK6" s="7" t="str">
        <f t="shared" si="4"/>
        <v>s</v>
      </c>
      <c r="BL6" s="7" t="str">
        <f t="shared" si="4"/>
        <v>d</v>
      </c>
    </row>
    <row r="7" spans="1:64" ht="16" hidden="1" thickBot="1" x14ac:dyDescent="0.25">
      <c r="A7" s="41" t="s">
        <v>6</v>
      </c>
      <c r="C7" s="44"/>
      <c r="E7"/>
      <c r="H7" t="str">
        <f>IF(OR(ISBLANK(début_tâche),ISBLANK(fin_tâche)),"",fin_tâche-début_tâche+1)</f>
        <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row>
    <row r="8" spans="1:64" s="2" customFormat="1" ht="30" customHeight="1" thickBot="1" x14ac:dyDescent="0.25">
      <c r="A8" s="42" t="s">
        <v>7</v>
      </c>
      <c r="B8" s="12" t="s">
        <v>15</v>
      </c>
      <c r="C8" s="46"/>
      <c r="D8" s="13"/>
      <c r="E8" s="64"/>
      <c r="F8" s="65"/>
      <c r="G8" s="11"/>
      <c r="H8" s="11" t="str">
        <f t="shared" ref="H8:H33" si="5">IF(OR(ISBLANK(début_tâche),ISBLANK(fin_tâche)),"",fin_tâche-début_tâche+1)</f>
        <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row>
    <row r="9" spans="1:64" s="2" customFormat="1" ht="30" customHeight="1" thickBot="1" x14ac:dyDescent="0.25">
      <c r="A9" s="42" t="s">
        <v>8</v>
      </c>
      <c r="B9" s="55" t="s">
        <v>16</v>
      </c>
      <c r="C9" s="47" t="s">
        <v>26</v>
      </c>
      <c r="D9" s="14">
        <v>0.5</v>
      </c>
      <c r="E9" s="66">
        <f>Début_Projet</f>
        <v>45971</v>
      </c>
      <c r="F9" s="66">
        <f>E9+3</f>
        <v>45974</v>
      </c>
      <c r="G9" s="11"/>
      <c r="H9" s="11">
        <f t="shared" si="5"/>
        <v>4</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row>
    <row r="10" spans="1:64" s="2" customFormat="1" ht="30" customHeight="1" thickBot="1" x14ac:dyDescent="0.25">
      <c r="A10" s="42" t="s">
        <v>9</v>
      </c>
      <c r="B10" s="55" t="s">
        <v>17</v>
      </c>
      <c r="C10" s="47"/>
      <c r="D10" s="14">
        <v>0.6</v>
      </c>
      <c r="E10" s="66">
        <f>F9</f>
        <v>45974</v>
      </c>
      <c r="F10" s="66">
        <f>E10+2</f>
        <v>45976</v>
      </c>
      <c r="G10" s="11"/>
      <c r="H10" s="11">
        <f t="shared" si="5"/>
        <v>3</v>
      </c>
      <c r="I10" s="28"/>
      <c r="J10" s="28"/>
      <c r="K10" s="28"/>
      <c r="L10" s="28"/>
      <c r="M10" s="28"/>
      <c r="N10" s="28"/>
      <c r="O10" s="28"/>
      <c r="P10" s="28"/>
      <c r="Q10" s="28"/>
      <c r="R10" s="28"/>
      <c r="S10" s="28"/>
      <c r="T10" s="28"/>
      <c r="U10" s="29"/>
      <c r="V10" s="29"/>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row>
    <row r="11" spans="1:64" s="2" customFormat="1" ht="30" customHeight="1" thickBot="1" x14ac:dyDescent="0.25">
      <c r="A11" s="41"/>
      <c r="B11" s="55" t="s">
        <v>18</v>
      </c>
      <c r="C11" s="47"/>
      <c r="D11" s="14">
        <v>0.5</v>
      </c>
      <c r="E11" s="66">
        <f>F10</f>
        <v>45976</v>
      </c>
      <c r="F11" s="66">
        <f>E11+4</f>
        <v>45980</v>
      </c>
      <c r="G11" s="11"/>
      <c r="H11" s="11">
        <f t="shared" si="5"/>
        <v>5</v>
      </c>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row>
    <row r="12" spans="1:64" s="2" customFormat="1" ht="30" customHeight="1" thickBot="1" x14ac:dyDescent="0.25">
      <c r="A12" s="41"/>
      <c r="B12" s="55" t="s">
        <v>19</v>
      </c>
      <c r="C12" s="47"/>
      <c r="D12" s="14">
        <v>0.25</v>
      </c>
      <c r="E12" s="66">
        <f>F11</f>
        <v>45980</v>
      </c>
      <c r="F12" s="66">
        <f>E12+5</f>
        <v>45985</v>
      </c>
      <c r="G12" s="11"/>
      <c r="H12" s="11">
        <f t="shared" si="5"/>
        <v>6</v>
      </c>
      <c r="I12" s="28"/>
      <c r="J12" s="28"/>
      <c r="K12" s="28"/>
      <c r="L12" s="28"/>
      <c r="M12" s="28"/>
      <c r="N12" s="28"/>
      <c r="O12" s="28"/>
      <c r="P12" s="28"/>
      <c r="Q12" s="28"/>
      <c r="R12" s="28"/>
      <c r="S12" s="28"/>
      <c r="T12" s="28"/>
      <c r="U12" s="28"/>
      <c r="V12" s="28"/>
      <c r="W12" s="28"/>
      <c r="X12" s="28"/>
      <c r="Y12" s="29"/>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row>
    <row r="13" spans="1:64" s="2" customFormat="1" ht="30" customHeight="1" thickBot="1" x14ac:dyDescent="0.25">
      <c r="A13" s="41"/>
      <c r="B13" s="55" t="s">
        <v>20</v>
      </c>
      <c r="C13" s="47"/>
      <c r="D13" s="14"/>
      <c r="E13" s="66">
        <f>E10+1</f>
        <v>45975</v>
      </c>
      <c r="F13" s="66">
        <f>E13+2</f>
        <v>45977</v>
      </c>
      <c r="G13" s="11"/>
      <c r="H13" s="11">
        <f t="shared" si="5"/>
        <v>3</v>
      </c>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row>
    <row r="14" spans="1:64" s="2" customFormat="1" ht="30" customHeight="1" thickBot="1" x14ac:dyDescent="0.25">
      <c r="A14" s="42" t="s">
        <v>10</v>
      </c>
      <c r="B14" s="15" t="s">
        <v>21</v>
      </c>
      <c r="C14" s="48"/>
      <c r="D14" s="16"/>
      <c r="E14" s="67"/>
      <c r="F14" s="68"/>
      <c r="G14" s="11"/>
      <c r="H14" s="11" t="str">
        <f t="shared" si="5"/>
        <v/>
      </c>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row>
    <row r="15" spans="1:64" s="2" customFormat="1" ht="30" customHeight="1" thickBot="1" x14ac:dyDescent="0.25">
      <c r="A15" s="42"/>
      <c r="B15" s="56" t="s">
        <v>16</v>
      </c>
      <c r="C15" s="49"/>
      <c r="D15" s="17">
        <v>0.5</v>
      </c>
      <c r="E15" s="69">
        <f>E13+1</f>
        <v>45976</v>
      </c>
      <c r="F15" s="69">
        <f>E15+4</f>
        <v>45980</v>
      </c>
      <c r="G15" s="11"/>
      <c r="H15" s="11">
        <f t="shared" si="5"/>
        <v>5</v>
      </c>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row>
    <row r="16" spans="1:64" s="2" customFormat="1" ht="30" customHeight="1" thickBot="1" x14ac:dyDescent="0.25">
      <c r="A16" s="41"/>
      <c r="B16" s="56" t="s">
        <v>17</v>
      </c>
      <c r="C16" s="49"/>
      <c r="D16" s="17">
        <v>0.5</v>
      </c>
      <c r="E16" s="69">
        <f>E15+2</f>
        <v>45978</v>
      </c>
      <c r="F16" s="69">
        <f>E16+5</f>
        <v>45983</v>
      </c>
      <c r="G16" s="11"/>
      <c r="H16" s="11">
        <f t="shared" si="5"/>
        <v>6</v>
      </c>
      <c r="I16" s="28"/>
      <c r="J16" s="28"/>
      <c r="K16" s="28"/>
      <c r="L16" s="28"/>
      <c r="M16" s="28"/>
      <c r="N16" s="28"/>
      <c r="O16" s="28"/>
      <c r="P16" s="28"/>
      <c r="Q16" s="28"/>
      <c r="R16" s="28"/>
      <c r="S16" s="28"/>
      <c r="T16" s="28"/>
      <c r="U16" s="29"/>
      <c r="V16" s="29"/>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row>
    <row r="17" spans="1:64" s="2" customFormat="1" ht="30" customHeight="1" thickBot="1" x14ac:dyDescent="0.25">
      <c r="A17" s="41"/>
      <c r="B17" s="56" t="s">
        <v>18</v>
      </c>
      <c r="C17" s="49"/>
      <c r="D17" s="17"/>
      <c r="E17" s="69">
        <f>F16</f>
        <v>45983</v>
      </c>
      <c r="F17" s="69">
        <f>E17+3</f>
        <v>45986</v>
      </c>
      <c r="G17" s="11"/>
      <c r="H17" s="11">
        <f t="shared" si="5"/>
        <v>4</v>
      </c>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row>
    <row r="18" spans="1:64" s="2" customFormat="1" ht="30" customHeight="1" thickBot="1" x14ac:dyDescent="0.25">
      <c r="A18" s="41"/>
      <c r="B18" s="56" t="s">
        <v>19</v>
      </c>
      <c r="C18" s="49"/>
      <c r="D18" s="17"/>
      <c r="E18" s="69">
        <f>E17</f>
        <v>45983</v>
      </c>
      <c r="F18" s="69">
        <f>E18+2</f>
        <v>45985</v>
      </c>
      <c r="G18" s="11"/>
      <c r="H18" s="11">
        <f t="shared" si="5"/>
        <v>3</v>
      </c>
      <c r="I18" s="28"/>
      <c r="J18" s="28"/>
      <c r="K18" s="28"/>
      <c r="L18" s="28"/>
      <c r="M18" s="28"/>
      <c r="N18" s="28"/>
      <c r="O18" s="28"/>
      <c r="P18" s="28"/>
      <c r="Q18" s="28"/>
      <c r="R18" s="28"/>
      <c r="S18" s="28"/>
      <c r="T18" s="28"/>
      <c r="U18" s="28"/>
      <c r="V18" s="28"/>
      <c r="W18" s="28"/>
      <c r="X18" s="28"/>
      <c r="Y18" s="29"/>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row>
    <row r="19" spans="1:64" s="2" customFormat="1" ht="30" customHeight="1" thickBot="1" x14ac:dyDescent="0.25">
      <c r="A19" s="41"/>
      <c r="B19" s="56" t="s">
        <v>20</v>
      </c>
      <c r="C19" s="49"/>
      <c r="D19" s="17"/>
      <c r="E19" s="69">
        <f>E18</f>
        <v>45983</v>
      </c>
      <c r="F19" s="69">
        <f>E19+3</f>
        <v>45986</v>
      </c>
      <c r="G19" s="11"/>
      <c r="H19" s="11">
        <f t="shared" si="5"/>
        <v>4</v>
      </c>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row>
    <row r="20" spans="1:64" s="2" customFormat="1" ht="30" customHeight="1" thickBot="1" x14ac:dyDescent="0.25">
      <c r="A20" s="41" t="s">
        <v>11</v>
      </c>
      <c r="B20" s="18" t="s">
        <v>22</v>
      </c>
      <c r="C20" s="50"/>
      <c r="D20" s="19"/>
      <c r="E20" s="70"/>
      <c r="F20" s="71"/>
      <c r="G20" s="11"/>
      <c r="H20" s="11" t="str">
        <f t="shared" si="5"/>
        <v/>
      </c>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row>
    <row r="21" spans="1:64" s="2" customFormat="1" ht="30" customHeight="1" thickBot="1" x14ac:dyDescent="0.25">
      <c r="A21" s="41"/>
      <c r="B21" s="57" t="s">
        <v>16</v>
      </c>
      <c r="C21" s="51"/>
      <c r="D21" s="20"/>
      <c r="E21" s="72">
        <f>E9+15</f>
        <v>45986</v>
      </c>
      <c r="F21" s="72">
        <f>E21+5</f>
        <v>45991</v>
      </c>
      <c r="G21" s="11"/>
      <c r="H21" s="11">
        <f t="shared" si="5"/>
        <v>6</v>
      </c>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row>
    <row r="22" spans="1:64" s="2" customFormat="1" ht="30" customHeight="1" thickBot="1" x14ac:dyDescent="0.25">
      <c r="A22" s="41"/>
      <c r="B22" s="57" t="s">
        <v>17</v>
      </c>
      <c r="C22" s="51"/>
      <c r="D22" s="20"/>
      <c r="E22" s="72">
        <f>F21+1</f>
        <v>45992</v>
      </c>
      <c r="F22" s="72">
        <f>E22+4</f>
        <v>45996</v>
      </c>
      <c r="G22" s="11"/>
      <c r="H22" s="11">
        <f t="shared" si="5"/>
        <v>5</v>
      </c>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row>
    <row r="23" spans="1:64" s="2" customFormat="1" ht="30" customHeight="1" thickBot="1" x14ac:dyDescent="0.25">
      <c r="A23" s="41"/>
      <c r="B23" s="57" t="s">
        <v>18</v>
      </c>
      <c r="C23" s="51"/>
      <c r="D23" s="20"/>
      <c r="E23" s="72">
        <f>E22+5</f>
        <v>45997</v>
      </c>
      <c r="F23" s="72">
        <f>E23+5</f>
        <v>46002</v>
      </c>
      <c r="G23" s="11"/>
      <c r="H23" s="11">
        <f t="shared" si="5"/>
        <v>6</v>
      </c>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row>
    <row r="24" spans="1:64" s="2" customFormat="1" ht="30" customHeight="1" thickBot="1" x14ac:dyDescent="0.25">
      <c r="A24" s="41"/>
      <c r="B24" s="57" t="s">
        <v>19</v>
      </c>
      <c r="C24" s="51"/>
      <c r="D24" s="20"/>
      <c r="E24" s="72">
        <f>F23+1</f>
        <v>46003</v>
      </c>
      <c r="F24" s="72">
        <f>E24+4</f>
        <v>46007</v>
      </c>
      <c r="G24" s="11"/>
      <c r="H24" s="11">
        <f t="shared" si="5"/>
        <v>5</v>
      </c>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row>
    <row r="25" spans="1:64" s="2" customFormat="1" ht="30" customHeight="1" thickBot="1" x14ac:dyDescent="0.25">
      <c r="A25" s="41"/>
      <c r="B25" s="57" t="s">
        <v>20</v>
      </c>
      <c r="C25" s="51"/>
      <c r="D25" s="20"/>
      <c r="E25" s="72">
        <f>E23</f>
        <v>45997</v>
      </c>
      <c r="F25" s="72">
        <f>E25+4</f>
        <v>46001</v>
      </c>
      <c r="G25" s="11"/>
      <c r="H25" s="11">
        <f t="shared" si="5"/>
        <v>5</v>
      </c>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row>
    <row r="26" spans="1:64" s="2" customFormat="1" ht="30" customHeight="1" thickBot="1" x14ac:dyDescent="0.25">
      <c r="A26" s="41" t="s">
        <v>11</v>
      </c>
      <c r="B26" s="21" t="s">
        <v>23</v>
      </c>
      <c r="C26" s="52"/>
      <c r="D26" s="22"/>
      <c r="E26" s="73"/>
      <c r="F26" s="74"/>
      <c r="G26" s="11"/>
      <c r="H26" s="11" t="str">
        <f t="shared" si="5"/>
        <v/>
      </c>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row>
    <row r="27" spans="1:64" s="2" customFormat="1" ht="30" customHeight="1" thickBot="1" x14ac:dyDescent="0.25">
      <c r="A27" s="41"/>
      <c r="B27" s="58" t="s">
        <v>16</v>
      </c>
      <c r="C27" s="53"/>
      <c r="D27" s="23"/>
      <c r="E27" s="75" t="s">
        <v>29</v>
      </c>
      <c r="F27" s="75" t="s">
        <v>29</v>
      </c>
      <c r="G27" s="11"/>
      <c r="H27" s="11" t="e">
        <f t="shared" si="5"/>
        <v>#VALUE!</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row>
    <row r="28" spans="1:64" s="2" customFormat="1" ht="30" customHeight="1" thickBot="1" x14ac:dyDescent="0.25">
      <c r="A28" s="41"/>
      <c r="B28" s="58" t="s">
        <v>17</v>
      </c>
      <c r="C28" s="53"/>
      <c r="D28" s="23"/>
      <c r="E28" s="75" t="s">
        <v>29</v>
      </c>
      <c r="F28" s="75" t="s">
        <v>29</v>
      </c>
      <c r="G28" s="11"/>
      <c r="H28" s="11" t="e">
        <f t="shared" si="5"/>
        <v>#VALUE!</v>
      </c>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row>
    <row r="29" spans="1:64" s="2" customFormat="1" ht="30" customHeight="1" thickBot="1" x14ac:dyDescent="0.25">
      <c r="A29" s="41"/>
      <c r="B29" s="58" t="s">
        <v>18</v>
      </c>
      <c r="C29" s="53"/>
      <c r="D29" s="23"/>
      <c r="E29" s="75" t="s">
        <v>29</v>
      </c>
      <c r="F29" s="75" t="s">
        <v>29</v>
      </c>
      <c r="G29" s="11"/>
      <c r="H29" s="11" t="e">
        <f t="shared" si="5"/>
        <v>#VALUE!</v>
      </c>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row>
    <row r="30" spans="1:64" s="2" customFormat="1" ht="30" customHeight="1" thickBot="1" x14ac:dyDescent="0.25">
      <c r="A30" s="41"/>
      <c r="B30" s="58" t="s">
        <v>19</v>
      </c>
      <c r="C30" s="53"/>
      <c r="D30" s="23"/>
      <c r="E30" s="75" t="s">
        <v>29</v>
      </c>
      <c r="F30" s="75" t="s">
        <v>29</v>
      </c>
      <c r="G30" s="11"/>
      <c r="H30" s="11" t="e">
        <f t="shared" si="5"/>
        <v>#VALUE!</v>
      </c>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row>
    <row r="31" spans="1:64" s="2" customFormat="1" ht="30" customHeight="1" thickBot="1" x14ac:dyDescent="0.25">
      <c r="A31" s="41"/>
      <c r="B31" s="58" t="s">
        <v>20</v>
      </c>
      <c r="C31" s="53"/>
      <c r="D31" s="23"/>
      <c r="E31" s="75" t="s">
        <v>29</v>
      </c>
      <c r="F31" s="75" t="s">
        <v>29</v>
      </c>
      <c r="G31" s="11"/>
      <c r="H31" s="11" t="e">
        <f t="shared" si="5"/>
        <v>#VALUE!</v>
      </c>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row>
    <row r="32" spans="1:64" s="2" customFormat="1" ht="30" customHeight="1" thickBot="1" x14ac:dyDescent="0.25">
      <c r="A32" s="41" t="s">
        <v>12</v>
      </c>
      <c r="B32" s="59"/>
      <c r="C32" s="54"/>
      <c r="D32" s="10"/>
      <c r="E32" s="76"/>
      <c r="F32" s="76"/>
      <c r="G32" s="11"/>
      <c r="H32" s="11" t="str">
        <f t="shared" si="5"/>
        <v/>
      </c>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row>
    <row r="33" spans="1:64" s="2" customFormat="1" ht="30" customHeight="1" thickBot="1" x14ac:dyDescent="0.25">
      <c r="A33" s="42" t="s">
        <v>13</v>
      </c>
      <c r="B33" s="24" t="s">
        <v>24</v>
      </c>
      <c r="C33" s="25"/>
      <c r="D33" s="26"/>
      <c r="E33" s="77"/>
      <c r="F33" s="78"/>
      <c r="G33" s="27"/>
      <c r="H33" s="27" t="str">
        <f t="shared" si="5"/>
        <v/>
      </c>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row>
    <row r="34" spans="1:64" ht="30" customHeight="1" x14ac:dyDescent="0.2">
      <c r="G34" s="4"/>
    </row>
    <row r="35" spans="1:64" ht="30" customHeight="1" x14ac:dyDescent="0.2">
      <c r="C35" s="8"/>
      <c r="F35" s="43"/>
    </row>
    <row r="36" spans="1:64" ht="30" customHeight="1" x14ac:dyDescent="0.2">
      <c r="C36" s="9"/>
    </row>
  </sheetData>
  <mergeCells count="13">
    <mergeCell ref="B2:C2"/>
    <mergeCell ref="B1:F1"/>
    <mergeCell ref="E4:F4"/>
    <mergeCell ref="C4:D4"/>
    <mergeCell ref="AK4:AQ4"/>
    <mergeCell ref="AR4:AX4"/>
    <mergeCell ref="AY4:BE4"/>
    <mergeCell ref="BF4:BL4"/>
    <mergeCell ref="E3:F3"/>
    <mergeCell ref="I4:O4"/>
    <mergeCell ref="P4:V4"/>
    <mergeCell ref="W4:AC4"/>
    <mergeCell ref="AD4:AJ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AND(début_tâche&lt;=I$5,ROUNDDOWN((fin_tâche-début_tâche+1)*avancement_tâche,0)+début_tâche-1&gt;=I$5)</formula>
    </cfRule>
    <cfRule type="expression" dxfId="0" priority="28" stopIfTrue="1">
      <formula>AND(fin_tâche&gt;=I$5,début_tâche&lt;J$5)</formula>
    </cfRule>
  </conditionalFormatting>
  <dataValidations count="1">
    <dataValidation type="whole" operator="greaterThanOrEqual" allowBlank="1" showInputMessage="1" promptTitle="Semaine d’affichage" prompt="La modification de ce nombre entraînera la défilement du diagramme de Gantt." sqref="E4" xr:uid="{00000000-0002-0000-0000-000000000000}">
      <formula1>1</formula1>
    </dataValidation>
  </dataValidations>
  <printOptions horizontalCentered="1"/>
  <pageMargins left="0.35" right="0.35" top="0.35" bottom="0.5" header="0.3" footer="0.3"/>
  <pageSetup paperSize="9" scale="59" fitToHeight="0" orientation="landscape" r:id="rId1"/>
  <headerFooter differentFirst="1" scaleWithDoc="0">
    <oddFooter>Page &amp;P of &amp;N</oddFooter>
  </headerFooter>
  <rowBreaks count="1" manualBreakCount="1">
    <brk id="32" max="16383" man="1"/>
  </rowBreaks>
  <colBreaks count="1" manualBreakCount="1">
    <brk id="2" max="1048575" man="1"/>
  </colBreaks>
  <ignoredErrors>
    <ignoredError sqref="F18 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640625" defaultRowHeight="14" x14ac:dyDescent="0.2"/>
  <cols>
    <col min="1" max="1" width="90.6640625" style="31" customWidth="1"/>
    <col min="2" max="16384" width="9.1640625" style="1"/>
  </cols>
  <sheetData>
    <row r="1" spans="1:2" ht="46.5" customHeight="1" x14ac:dyDescent="0.2"/>
    <row r="2" spans="1:2" s="33" customFormat="1" ht="16" x14ac:dyDescent="0.2">
      <c r="A2" s="32" t="s">
        <v>32</v>
      </c>
      <c r="B2" s="32"/>
    </row>
    <row r="3" spans="1:2" s="37" customFormat="1" ht="27" customHeight="1" x14ac:dyDescent="0.2">
      <c r="A3" s="63" t="s">
        <v>33</v>
      </c>
      <c r="B3" s="38"/>
    </row>
    <row r="4" spans="1:2" s="34" customFormat="1" ht="26" x14ac:dyDescent="0.3">
      <c r="A4" s="35" t="s">
        <v>34</v>
      </c>
    </row>
    <row r="5" spans="1:2" ht="74" customHeight="1" x14ac:dyDescent="0.2">
      <c r="A5" s="36" t="s">
        <v>35</v>
      </c>
    </row>
    <row r="6" spans="1:2" ht="26.25" customHeight="1" x14ac:dyDescent="0.2">
      <c r="A6" s="35" t="s">
        <v>36</v>
      </c>
    </row>
    <row r="7" spans="1:2" s="31" customFormat="1" ht="205" customHeight="1" x14ac:dyDescent="0.2">
      <c r="A7" s="40" t="s">
        <v>37</v>
      </c>
    </row>
    <row r="8" spans="1:2" s="34" customFormat="1" ht="26" x14ac:dyDescent="0.3">
      <c r="A8" s="35" t="s">
        <v>38</v>
      </c>
    </row>
    <row r="9" spans="1:2" ht="64" x14ac:dyDescent="0.2">
      <c r="A9" s="36" t="s">
        <v>39</v>
      </c>
    </row>
    <row r="10" spans="1:2" s="31" customFormat="1" ht="28" customHeight="1" x14ac:dyDescent="0.2">
      <c r="A10" s="39" t="s">
        <v>40</v>
      </c>
    </row>
    <row r="11" spans="1:2" s="34" customFormat="1" ht="26" x14ac:dyDescent="0.3">
      <c r="A11" s="35" t="s">
        <v>41</v>
      </c>
    </row>
    <row r="12" spans="1:2" ht="32" x14ac:dyDescent="0.2">
      <c r="A12" s="36" t="s">
        <v>42</v>
      </c>
    </row>
    <row r="13" spans="1:2" s="31" customFormat="1" ht="28" customHeight="1" x14ac:dyDescent="0.2">
      <c r="A13" s="39" t="s">
        <v>43</v>
      </c>
    </row>
    <row r="14" spans="1:2" s="34" customFormat="1" ht="26" x14ac:dyDescent="0.3">
      <c r="A14" s="35" t="s">
        <v>44</v>
      </c>
    </row>
    <row r="15" spans="1:2" ht="88.5" customHeight="1" x14ac:dyDescent="0.2">
      <c r="A15" s="36" t="s">
        <v>45</v>
      </c>
    </row>
    <row r="16" spans="1:2" ht="96.75" customHeight="1" x14ac:dyDescent="0.2">
      <c r="A16" s="36" t="s">
        <v>46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scale="94"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Feuilles de calcul</vt:lpstr>
      </vt:variant>
      <vt:variant>
        <vt:i4>2</vt:i4>
      </vt:variant>
      <vt:variant>
        <vt:lpstr>Plages nommées</vt:lpstr>
      </vt:variant>
      <vt:variant>
        <vt:i4>6</vt:i4>
      </vt:variant>
    </vt:vector>
  </HeadingPairs>
  <TitlesOfParts>
    <vt:vector size="8" baseType="lpstr">
      <vt:lpstr>PlanningProjet</vt:lpstr>
      <vt:lpstr>À propos de</vt:lpstr>
      <vt:lpstr>PlanningProjet!avancement_tâche</vt:lpstr>
      <vt:lpstr>Début_Projet</vt:lpstr>
      <vt:lpstr>PlanningProjet!début_tâche</vt:lpstr>
      <vt:lpstr>PlanningProjet!fin_tâche</vt:lpstr>
      <vt:lpstr>PlanningProjet!Impression_des_titres</vt:lpstr>
      <vt:lpstr>Semaine_Affichage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2025-11-10T12:52:32Z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